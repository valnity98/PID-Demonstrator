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440" windowWidth="29040" windowHeight="15720" tabRatio="600" firstSheet="0" activeTab="0" autoFilterDateGrouping="1"/>
  </bookViews>
  <sheets>
    <sheet xmlns:r="http://schemas.openxmlformats.org/officeDocument/2006/relationships" name="Stueckliste PID-Demo" sheetId="1" state="visible" r:id="rId1"/>
  </sheets>
  <definedNames>
    <definedName name="_xlnm.Print_Titles" localSheetId="0">'Stueckliste PID-Demo'!$3:$3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888888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2"/>
    </font>
    <font>
      <name val="Arial"/>
      <family val="2"/>
      <i val="1"/>
      <color rgb="FF777777"/>
      <sz val="8"/>
    </font>
  </fonts>
  <fills count="21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DDEEFF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FF8E1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00695C"/>
      </patternFill>
    </fill>
    <fill>
      <patternFill patternType="solid">
        <fgColor rgb="FFE0F2F1"/>
      </patternFill>
    </fill>
    <fill>
      <patternFill patternType="solid">
        <fgColor rgb="FFBF360C"/>
      </patternFill>
    </fill>
    <fill>
      <patternFill patternType="solid">
        <fgColor rgb="FFFBE9E7"/>
      </patternFill>
    </fill>
    <fill>
      <patternFill patternType="solid">
        <fgColor rgb="FF558B2F"/>
      </patternFill>
    </fill>
    <fill>
      <patternFill patternType="solid">
        <fgColor rgb="FFF1F8E9"/>
      </patternFill>
    </fill>
    <fill>
      <patternFill patternType="solid">
        <fgColor rgb="FF424242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4" fontId="4" fillId="8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4" fontId="4" fillId="10" borderId="1" applyAlignment="1" pivotButton="0" quotePrefix="0" xfId="0">
      <alignment horizontal="center" vertical="center" wrapText="1"/>
    </xf>
    <xf numFmtId="4" fontId="3" fillId="9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4" fontId="4" fillId="12" borderId="1" applyAlignment="1" pivotButton="0" quotePrefix="0" xfId="0">
      <alignment horizontal="center" vertical="center" wrapText="1"/>
    </xf>
    <xf numFmtId="4" fontId="3" fillId="11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4" fontId="4" fillId="14" borderId="1" applyAlignment="1" pivotButton="0" quotePrefix="0" xfId="0">
      <alignment horizontal="center" vertical="center" wrapText="1"/>
    </xf>
    <xf numFmtId="4" fontId="3" fillId="13" borderId="1" applyAlignment="1" pivotButton="0" quotePrefix="0" xfId="0">
      <alignment horizontal="right" vertical="center"/>
    </xf>
    <xf numFmtId="0" fontId="5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4" fontId="4" fillId="16" borderId="1" applyAlignment="1" pivotButton="0" quotePrefix="0" xfId="0">
      <alignment horizontal="center" vertical="center" wrapText="1"/>
    </xf>
    <xf numFmtId="4" fontId="3" fillId="15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4" fontId="4" fillId="18" borderId="1" applyAlignment="1" pivotButton="0" quotePrefix="0" xfId="0">
      <alignment horizontal="center" vertical="center" wrapText="1"/>
    </xf>
    <xf numFmtId="4" fontId="3" fillId="17" borderId="1" applyAlignment="1" pivotButton="0" quotePrefix="0" xfId="0">
      <alignment horizontal="right" vertical="center"/>
    </xf>
    <xf numFmtId="0" fontId="5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4" fontId="4" fillId="20" borderId="1" applyAlignment="1" pivotButton="0" quotePrefix="0" xfId="0">
      <alignment horizontal="center" vertical="center" wrapText="1"/>
    </xf>
    <xf numFmtId="4" fontId="3" fillId="19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 vertical="center"/>
    </xf>
    <xf numFmtId="0" fontId="6" fillId="1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1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19" borderId="0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237E"/>
    <outlinePr summaryBelow="1" summaryRight="1"/>
    <pageSetUpPr/>
  </sheetPr>
  <dimension ref="A1:J67"/>
  <sheetViews>
    <sheetView tabSelected="1" workbookViewId="0">
      <pane ySplit="3" topLeftCell="A19" activePane="bottomLeft" state="frozen"/>
      <selection pane="bottomLeft" activeCell="E70" sqref="E70"/>
    </sheetView>
  </sheetViews>
  <sheetFormatPr baseColWidth="8" defaultRowHeight="14.4"/>
  <cols>
    <col width="4" customWidth="1" style="44" min="1" max="1"/>
    <col width="14" customWidth="1" style="44" min="2" max="2"/>
    <col width="22" customWidth="1" style="44" min="3" max="3"/>
    <col width="14" customWidth="1" style="44" min="4" max="4"/>
    <col width="36" customWidth="1" style="44" min="5" max="5"/>
    <col width="11" customWidth="1" style="44" min="6" max="6"/>
    <col width="18" customWidth="1" style="44" min="7" max="7"/>
    <col width="6" customWidth="1" style="44" min="8" max="8"/>
    <col width="14" customWidth="1" style="44" min="9" max="9"/>
    <col width="13" customWidth="1" style="44" min="10" max="10"/>
  </cols>
  <sheetData>
    <row r="1" ht="28.05" customHeight="1" s="44">
      <c r="A1" s="53" t="inlineStr">
        <is>
          <t>Stueckliste  --  PID-Demo v65</t>
        </is>
      </c>
    </row>
    <row r="2" ht="15" customHeight="1" s="44">
      <c r="A2" s="62" t="inlineStr">
        <is>
          <t>Projekt: PID-Regler Demo  |  Autor: Mutasem Bader  |  03.06.2026</t>
        </is>
      </c>
    </row>
    <row r="3" ht="19.95" customHeight="1" s="44">
      <c r="A3" s="1" t="inlineStr">
        <is>
          <t>#</t>
        </is>
      </c>
      <c r="B3" s="1" t="inlineStr">
        <is>
          <t>Kategorie</t>
        </is>
      </c>
      <c r="C3" s="1" t="inlineStr">
        <is>
          <t>Referenz</t>
        </is>
      </c>
      <c r="D3" s="1" t="inlineStr">
        <is>
          <t>Wert / Typ</t>
        </is>
      </c>
      <c r="E3" s="1" t="inlineStr">
        <is>
          <t>Beschreibung</t>
        </is>
      </c>
      <c r="F3" s="1" t="inlineStr">
        <is>
          <t>Lieferant</t>
        </is>
      </c>
      <c r="G3" s="1" t="inlineStr">
        <is>
          <t>Artikel-Nr.</t>
        </is>
      </c>
      <c r="H3" s="1" t="inlineStr">
        <is>
          <t>Stk</t>
        </is>
      </c>
      <c r="I3" s="1" t="inlineStr">
        <is>
          <t>Preis/Stk EUR</t>
        </is>
      </c>
      <c r="J3" s="1" t="inlineStr">
        <is>
          <t>Gesamt EUR</t>
        </is>
      </c>
    </row>
    <row r="4" ht="16.05" customHeight="1" s="44">
      <c r="A4" s="46" t="inlineStr">
        <is>
          <t xml:space="preserve">  Kondensatoren</t>
        </is>
      </c>
    </row>
    <row r="5" ht="15" customHeight="1" s="44">
      <c r="A5" s="2" t="n"/>
      <c r="B5" s="3" t="inlineStr">
        <is>
          <t>Kondensatoren</t>
        </is>
      </c>
      <c r="C5" s="3" t="inlineStr">
        <is>
          <t>C1</t>
        </is>
      </c>
      <c r="D5" s="3" t="inlineStr">
        <is>
          <t>1 uF</t>
        </is>
      </c>
      <c r="E5" s="3" t="inlineStr">
        <is>
          <t>MLCC 1206</t>
        </is>
      </c>
      <c r="F5" s="3" t="inlineStr">
        <is>
          <t>Reichelt</t>
        </is>
      </c>
      <c r="G5" s="3" t="inlineStr">
        <is>
          <t>12065C105JAT2A</t>
        </is>
      </c>
      <c r="H5" s="4" t="n">
        <v>2</v>
      </c>
      <c r="I5" s="5" t="n">
        <v>0.15</v>
      </c>
      <c r="J5" s="5">
        <f>H5*I5</f>
        <v/>
      </c>
    </row>
    <row r="6" ht="15" customHeight="1" s="44">
      <c r="A6" s="2" t="n"/>
      <c r="B6" s="3" t="inlineStr">
        <is>
          <t>Kondensatoren</t>
        </is>
      </c>
      <c r="C6" s="3" t="inlineStr">
        <is>
          <t>C2, C3</t>
        </is>
      </c>
      <c r="D6" s="3" t="inlineStr">
        <is>
          <t>47 uF</t>
        </is>
      </c>
      <c r="E6" s="3" t="inlineStr">
        <is>
          <t>Elko radial 6,3mm 50V</t>
        </is>
      </c>
      <c r="F6" s="3" t="inlineStr">
        <is>
          <t>Reichelt</t>
        </is>
      </c>
      <c r="G6" s="3" t="inlineStr">
        <is>
          <t>EB-A 47U 50</t>
        </is>
      </c>
      <c r="H6" s="4" t="n">
        <v>3</v>
      </c>
      <c r="I6" s="5" t="n">
        <v>0.25</v>
      </c>
      <c r="J6" s="5">
        <f>H6*I6</f>
        <v/>
      </c>
    </row>
    <row r="7" ht="15" customHeight="1" s="44">
      <c r="A7" s="2" t="n"/>
      <c r="B7" s="3" t="inlineStr">
        <is>
          <t>Kondensatoren</t>
        </is>
      </c>
      <c r="C7" s="3" t="inlineStr">
        <is>
          <t>C4, C7, C9..C12, C14, C15</t>
        </is>
      </c>
      <c r="D7" s="3" t="inlineStr">
        <is>
          <t>100 nF</t>
        </is>
      </c>
      <c r="E7" s="3" t="inlineStr">
        <is>
          <t>MLCC 1206</t>
        </is>
      </c>
      <c r="F7" s="3" t="inlineStr">
        <is>
          <t>Reichelt</t>
        </is>
      </c>
      <c r="G7" s="3" t="inlineStr">
        <is>
          <t>12061C104K4Z2A</t>
        </is>
      </c>
      <c r="H7" s="4" t="n">
        <v>10</v>
      </c>
      <c r="I7" s="5" t="n">
        <v>0.08</v>
      </c>
      <c r="J7" s="5">
        <f>H7*I7</f>
        <v/>
      </c>
    </row>
    <row r="8" ht="15" customHeight="1" s="44">
      <c r="A8" s="2" t="n"/>
      <c r="B8" s="3" t="inlineStr">
        <is>
          <t>Kondensatoren</t>
        </is>
      </c>
      <c r="C8" s="3" t="inlineStr">
        <is>
          <t>C5, C13</t>
        </is>
      </c>
      <c r="D8" s="3" t="inlineStr">
        <is>
          <t>10 uF</t>
        </is>
      </c>
      <c r="E8" s="3" t="inlineStr">
        <is>
          <t>MLCC 1206</t>
        </is>
      </c>
      <c r="F8" s="3" t="inlineStr">
        <is>
          <t>Reichelt</t>
        </is>
      </c>
      <c r="G8" s="3" t="inlineStr">
        <is>
          <t>GRM31CD71H106K</t>
        </is>
      </c>
      <c r="H8" s="4" t="n">
        <v>3</v>
      </c>
      <c r="I8" s="5" t="n">
        <v>0.36</v>
      </c>
      <c r="J8" s="5">
        <f>H8*I8</f>
        <v/>
      </c>
    </row>
    <row r="9" ht="15" customHeight="1" s="44">
      <c r="A9" s="2" t="n"/>
      <c r="B9" s="3" t="inlineStr">
        <is>
          <t>Kondensatoren</t>
        </is>
      </c>
      <c r="C9" s="3" t="inlineStr">
        <is>
          <t>C8</t>
        </is>
      </c>
      <c r="D9" s="3" t="inlineStr">
        <is>
          <t>2,2 uF</t>
        </is>
      </c>
      <c r="E9" s="3" t="inlineStr">
        <is>
          <t>MLCC 1206</t>
        </is>
      </c>
      <c r="F9" s="3" t="inlineStr">
        <is>
          <t>Reichelt</t>
        </is>
      </c>
      <c r="G9" s="3" t="inlineStr">
        <is>
          <t>12061C225KAT2A</t>
        </is>
      </c>
      <c r="H9" s="4" t="n">
        <v>2</v>
      </c>
      <c r="I9" s="5" t="n">
        <v>0.21</v>
      </c>
      <c r="J9" s="5">
        <f>H9*I9</f>
        <v/>
      </c>
    </row>
    <row r="10" ht="15" customHeight="1" s="44">
      <c r="A10" s="2" t="n"/>
      <c r="B10" s="3" t="inlineStr">
        <is>
          <t>Kondensatoren</t>
        </is>
      </c>
      <c r="C10" s="3" t="inlineStr">
        <is>
          <t>C16</t>
        </is>
      </c>
      <c r="D10" s="3" t="inlineStr">
        <is>
          <t>10 uF</t>
        </is>
      </c>
      <c r="E10" s="3" t="inlineStr">
        <is>
          <t>Elko radial 5mm 50V</t>
        </is>
      </c>
      <c r="F10" s="3" t="inlineStr">
        <is>
          <t>Reichelt</t>
        </is>
      </c>
      <c r="G10" s="3" t="inlineStr">
        <is>
          <t>EB-A 10U 50A</t>
        </is>
      </c>
      <c r="H10" s="4" t="n">
        <v>2</v>
      </c>
      <c r="I10" s="5" t="n">
        <v>0.3</v>
      </c>
      <c r="J10" s="5">
        <f>H10*I10</f>
        <v/>
      </c>
    </row>
    <row r="11" ht="13.95" customHeight="1" s="44">
      <c r="A11" s="58" t="inlineStr">
        <is>
          <t xml:space="preserve">  Zwischensumme  Kondensatoren</t>
        </is>
      </c>
      <c r="B11" s="65" t="n"/>
      <c r="C11" s="65" t="n"/>
      <c r="D11" s="65" t="n"/>
      <c r="E11" s="65" t="n"/>
      <c r="F11" s="65" t="n"/>
      <c r="G11" s="65" t="n"/>
      <c r="H11" s="65" t="n"/>
      <c r="I11" s="66" t="n"/>
      <c r="J11" s="6">
        <f>SUM(J5,J6,J7,J8,J9,J10)</f>
        <v/>
      </c>
    </row>
    <row r="12" ht="4.05" customHeight="1" s="44"/>
    <row r="13" ht="16.05" customHeight="1" s="44">
      <c r="A13" s="47" t="inlineStr">
        <is>
          <t xml:space="preserve">  Widerstaende</t>
        </is>
      </c>
    </row>
    <row r="14" ht="15" customHeight="1" s="44">
      <c r="A14" s="7" t="n"/>
      <c r="B14" s="8" t="inlineStr">
        <is>
          <t>Widerstaende</t>
        </is>
      </c>
      <c r="C14" s="8" t="inlineStr">
        <is>
          <t>R1, R6</t>
        </is>
      </c>
      <c r="D14" s="8" t="inlineStr">
        <is>
          <t>1 kOhm</t>
        </is>
      </c>
      <c r="E14" s="8" t="inlineStr">
        <is>
          <t>SMD 1206 1% Panasonic ERA8</t>
        </is>
      </c>
      <c r="F14" s="8" t="inlineStr">
        <is>
          <t>Reichelt</t>
        </is>
      </c>
      <c r="G14" s="8" t="inlineStr">
        <is>
          <t>PAN ERA8AEB102V</t>
        </is>
      </c>
      <c r="H14" s="9" t="n">
        <v>3</v>
      </c>
      <c r="I14" s="10" t="n">
        <v>0.72</v>
      </c>
      <c r="J14" s="10">
        <f>H14*I14</f>
        <v/>
      </c>
    </row>
    <row r="15" ht="15" customHeight="1" s="44">
      <c r="A15" s="7" t="n"/>
      <c r="B15" s="8" t="inlineStr">
        <is>
          <t>Widerstaende</t>
        </is>
      </c>
      <c r="C15" s="8" t="inlineStr">
        <is>
          <t>R2, R17</t>
        </is>
      </c>
      <c r="D15" s="8" t="inlineStr">
        <is>
          <t>24 kOhm</t>
        </is>
      </c>
      <c r="E15" s="8" t="inlineStr">
        <is>
          <t xml:space="preserve">SMD 1206  </t>
        </is>
      </c>
      <c r="F15" s="8" t="inlineStr">
        <is>
          <t>Reichelt</t>
        </is>
      </c>
      <c r="G15" s="8" t="inlineStr">
        <is>
          <t>SMD 1/4W 24K</t>
        </is>
      </c>
      <c r="H15" s="9" t="n">
        <v>3</v>
      </c>
      <c r="I15" s="10" t="n">
        <v>0.02</v>
      </c>
      <c r="J15" s="10">
        <f>H15*I15</f>
        <v/>
      </c>
    </row>
    <row r="16" ht="15" customHeight="1" s="44">
      <c r="A16" s="7" t="n"/>
      <c r="B16" s="8" t="inlineStr">
        <is>
          <t>Widerstaende</t>
        </is>
      </c>
      <c r="C16" s="8" t="inlineStr">
        <is>
          <t>R3, R4, R18</t>
        </is>
      </c>
      <c r="D16" s="8" t="inlineStr">
        <is>
          <t>10 kOhm</t>
        </is>
      </c>
      <c r="E16" s="8" t="inlineStr">
        <is>
          <t>SMD 1206</t>
        </is>
      </c>
      <c r="F16" s="8" t="inlineStr">
        <is>
          <t>Reichelt</t>
        </is>
      </c>
      <c r="G16" s="8" t="inlineStr">
        <is>
          <t>SMD 1/4W 10K</t>
        </is>
      </c>
      <c r="H16" s="9" t="n">
        <v>5</v>
      </c>
      <c r="I16" s="10" t="n">
        <v>0.09</v>
      </c>
      <c r="J16" s="10">
        <f>H16*I16</f>
        <v/>
      </c>
    </row>
    <row r="17" ht="15" customHeight="1" s="44">
      <c r="A17" s="7" t="n"/>
      <c r="B17" s="8" t="inlineStr">
        <is>
          <t>Widerstaende</t>
        </is>
      </c>
      <c r="C17" s="8" t="inlineStr">
        <is>
          <t>R7..R10</t>
        </is>
      </c>
      <c r="D17" s="8" t="inlineStr">
        <is>
          <t>10 kOhm</t>
        </is>
      </c>
      <c r="E17" s="8" t="inlineStr">
        <is>
          <t>Potentiometer linear Alps</t>
        </is>
      </c>
      <c r="F17" s="8" t="inlineStr">
        <is>
          <t>Reichelt</t>
        </is>
      </c>
      <c r="G17" s="8" t="inlineStr">
        <is>
          <t>RK09K113-LIN10K</t>
        </is>
      </c>
      <c r="H17" s="9" t="n">
        <v>5</v>
      </c>
      <c r="I17" s="10" t="n">
        <v>0.99</v>
      </c>
      <c r="J17" s="10">
        <f>H17*I17</f>
        <v/>
      </c>
    </row>
    <row r="18" ht="15" customHeight="1" s="44">
      <c r="A18" s="7" t="n"/>
      <c r="B18" s="8" t="inlineStr">
        <is>
          <t>Widerstaende</t>
        </is>
      </c>
      <c r="C18" s="8" t="inlineStr">
        <is>
          <t>R11</t>
        </is>
      </c>
      <c r="D18" s="8" t="inlineStr">
        <is>
          <t>4,7 kOhm</t>
        </is>
      </c>
      <c r="E18" s="8" t="inlineStr">
        <is>
          <t>SMD 1206 1% Panasonic ERJP08</t>
        </is>
      </c>
      <c r="F18" s="8" t="inlineStr">
        <is>
          <t>Reichelt</t>
        </is>
      </c>
      <c r="G18" s="8" t="inlineStr">
        <is>
          <t>PAN ERJP08F4701</t>
        </is>
      </c>
      <c r="H18" s="9" t="n">
        <v>2</v>
      </c>
      <c r="I18" s="10" t="n">
        <v>0.35</v>
      </c>
      <c r="J18" s="10">
        <f>H18*I18</f>
        <v/>
      </c>
    </row>
    <row r="19" ht="15" customHeight="1" s="44">
      <c r="A19" s="7" t="n"/>
      <c r="B19" s="8" t="inlineStr">
        <is>
          <t>Widerstaende</t>
        </is>
      </c>
      <c r="C19" s="8" t="inlineStr">
        <is>
          <t>R12..R15</t>
        </is>
      </c>
      <c r="D19" s="8" t="inlineStr">
        <is>
          <t>470 Ohm</t>
        </is>
      </c>
      <c r="E19" s="8" t="inlineStr">
        <is>
          <t>SMD 1206 1% Panasonic ERJP08</t>
        </is>
      </c>
      <c r="F19" s="8" t="inlineStr">
        <is>
          <t>Reichelt</t>
        </is>
      </c>
      <c r="G19" s="8" t="inlineStr">
        <is>
          <t>PAN ERJP08F4700</t>
        </is>
      </c>
      <c r="H19" s="9" t="n">
        <v>5</v>
      </c>
      <c r="I19" s="10" t="n">
        <v>0.25</v>
      </c>
      <c r="J19" s="10">
        <f>H19*I19</f>
        <v/>
      </c>
    </row>
    <row r="20" ht="15" customHeight="1" s="44">
      <c r="A20" s="7" t="n"/>
      <c r="B20" s="8" t="inlineStr">
        <is>
          <t>Widerstaende</t>
        </is>
      </c>
      <c r="C20" s="8" t="inlineStr">
        <is>
          <t>R16, R23</t>
        </is>
      </c>
      <c r="D20" s="8" t="inlineStr">
        <is>
          <t>250 mOhm</t>
        </is>
      </c>
      <c r="E20" s="8" t="inlineStr">
        <is>
          <t>SMD 1206 Shunt ERJ8BQ</t>
        </is>
      </c>
      <c r="F20" s="8" t="inlineStr">
        <is>
          <t>Reichelt</t>
        </is>
      </c>
      <c r="G20" s="8" t="inlineStr">
        <is>
          <t>PAN ERJ8BQFR30V</t>
        </is>
      </c>
      <c r="H20" s="9" t="n">
        <v>3</v>
      </c>
      <c r="I20" s="10" t="n">
        <v>0.89</v>
      </c>
      <c r="J20" s="10">
        <f>H20*I20</f>
        <v/>
      </c>
    </row>
    <row r="21" ht="15" customHeight="1" s="44">
      <c r="A21" s="7" t="n"/>
      <c r="B21" s="8" t="inlineStr">
        <is>
          <t>Widerstaende</t>
        </is>
      </c>
      <c r="C21" s="8" t="inlineStr">
        <is>
          <t>R20</t>
        </is>
      </c>
      <c r="D21" s="8" t="inlineStr">
        <is>
          <t>220 Ohm</t>
        </is>
      </c>
      <c r="E21" s="8" t="inlineStr">
        <is>
          <t>SMD 1206</t>
        </is>
      </c>
      <c r="F21" s="8" t="inlineStr">
        <is>
          <t>Reichelt</t>
        </is>
      </c>
      <c r="G21" s="8" t="inlineStr">
        <is>
          <t>SMD 1/4W 220</t>
        </is>
      </c>
      <c r="H21" s="9" t="n">
        <v>2</v>
      </c>
      <c r="I21" s="10" t="n">
        <v>0.06</v>
      </c>
      <c r="J21" s="10">
        <f>H21*I21</f>
        <v/>
      </c>
    </row>
    <row r="22" ht="15" customHeight="1" s="44">
      <c r="A22" s="7" t="n"/>
      <c r="B22" s="8" t="inlineStr">
        <is>
          <t>Widerstaende</t>
        </is>
      </c>
      <c r="C22" s="8" t="inlineStr">
        <is>
          <t>R21</t>
        </is>
      </c>
      <c r="D22" s="8" t="inlineStr">
        <is>
          <t>100 kOhm</t>
        </is>
      </c>
      <c r="E22" s="8" t="inlineStr">
        <is>
          <t>SMD 1206</t>
        </is>
      </c>
      <c r="F22" s="8" t="inlineStr">
        <is>
          <t>Reichelt</t>
        </is>
      </c>
      <c r="G22" s="8" t="inlineStr">
        <is>
          <t>RND 1551206 AU</t>
        </is>
      </c>
      <c r="H22" s="9" t="n">
        <v>2</v>
      </c>
      <c r="I22" s="10" t="n">
        <v>0.02</v>
      </c>
      <c r="J22" s="10">
        <f>H22*I22</f>
        <v/>
      </c>
    </row>
    <row r="23" ht="13.95" customHeight="1" s="44">
      <c r="A23" s="57" t="inlineStr">
        <is>
          <t xml:space="preserve">  Zwischensumme  Widerstaende</t>
        </is>
      </c>
      <c r="B23" s="65" t="n"/>
      <c r="C23" s="65" t="n"/>
      <c r="D23" s="65" t="n"/>
      <c r="E23" s="65" t="n"/>
      <c r="F23" s="65" t="n"/>
      <c r="G23" s="65" t="n"/>
      <c r="H23" s="65" t="n"/>
      <c r="I23" s="66" t="n"/>
      <c r="J23" s="11">
        <f>SUM(J14,J15,J16,J17,J18,J19,J20,J21,J22)</f>
        <v/>
      </c>
    </row>
    <row r="24" ht="4.05" customHeight="1" s="44"/>
    <row r="25" ht="16.05" customHeight="1" s="44">
      <c r="A25" s="60" t="inlineStr">
        <is>
          <t xml:space="preserve">  Dioden / LED</t>
        </is>
      </c>
    </row>
    <row r="26" ht="15" customHeight="1" s="44">
      <c r="A26" s="12" t="n"/>
      <c r="B26" s="13" t="inlineStr">
        <is>
          <t>Dioden / LED</t>
        </is>
      </c>
      <c r="C26" s="13" t="inlineStr">
        <is>
          <t>D1,D2,D3</t>
        </is>
      </c>
      <c r="D26" s="13" t="inlineStr">
        <is>
          <t>0,7V</t>
        </is>
      </c>
      <c r="E26" s="13" t="inlineStr">
        <is>
          <t>Gleichrichter SMA SK16</t>
        </is>
      </c>
      <c r="F26" s="13" t="inlineStr">
        <is>
          <t>Reichelt</t>
        </is>
      </c>
      <c r="G26" s="13" t="inlineStr">
        <is>
          <t>SK 16 DIO</t>
        </is>
      </c>
      <c r="H26" s="14" t="n">
        <v>4</v>
      </c>
      <c r="I26" s="15" t="n">
        <v>0.4</v>
      </c>
      <c r="J26" s="15">
        <f>H26*I26</f>
        <v/>
      </c>
    </row>
    <row r="27" ht="15" customHeight="1" s="44">
      <c r="A27" s="12" t="n"/>
      <c r="B27" s="13" t="inlineStr">
        <is>
          <t>Dioden / LED</t>
        </is>
      </c>
      <c r="C27" s="13" t="inlineStr">
        <is>
          <t>LED1, LED2</t>
        </is>
      </c>
      <c r="D27" s="13" t="inlineStr">
        <is>
          <t>12V / 8mm</t>
        </is>
      </c>
      <c r="E27" s="13" t="inlineStr">
        <is>
          <t>LED Signalleuchte gruen blinkend</t>
        </is>
      </c>
      <c r="F27" s="13" t="inlineStr">
        <is>
          <t>Reichelt</t>
        </is>
      </c>
      <c r="G27" s="13" t="inlineStr">
        <is>
          <t>19060001</t>
        </is>
      </c>
      <c r="H27" s="14" t="n">
        <v>3</v>
      </c>
      <c r="I27" s="15" t="n">
        <v>1.99</v>
      </c>
      <c r="J27" s="15">
        <f>H27*I27</f>
        <v/>
      </c>
    </row>
    <row r="28" ht="13.95" customHeight="1" s="44">
      <c r="A28" s="56" t="inlineStr">
        <is>
          <t xml:space="preserve">  Zwischensumme  Dioden / LED</t>
        </is>
      </c>
      <c r="B28" s="65" t="n"/>
      <c r="C28" s="65" t="n"/>
      <c r="D28" s="65" t="n"/>
      <c r="E28" s="65" t="n"/>
      <c r="F28" s="65" t="n"/>
      <c r="G28" s="65" t="n"/>
      <c r="H28" s="65" t="n"/>
      <c r="I28" s="66" t="n"/>
      <c r="J28" s="16">
        <f>SUM(J26,J27)</f>
        <v/>
      </c>
    </row>
    <row r="29" ht="4.05" customHeight="1" s="44"/>
    <row r="30" ht="16.05" customHeight="1" s="44">
      <c r="A30" s="63" t="inlineStr">
        <is>
          <t xml:space="preserve">  ICs / Module</t>
        </is>
      </c>
    </row>
    <row r="31" ht="15" customHeight="1" s="44">
      <c r="A31" s="17" t="n"/>
      <c r="B31" s="18" t="inlineStr">
        <is>
          <t>ICs / Module</t>
        </is>
      </c>
      <c r="C31" s="18" t="inlineStr">
        <is>
          <t>IC1</t>
        </is>
      </c>
      <c r="D31" s="18" t="inlineStr">
        <is>
          <t>INA138NA</t>
        </is>
      </c>
      <c r="E31" s="18" t="inlineStr">
        <is>
          <t>Strommessverstaerker SOT-23</t>
        </is>
      </c>
      <c r="F31" s="18" t="inlineStr">
        <is>
          <t>Reichelt</t>
        </is>
      </c>
      <c r="G31" s="18" t="inlineStr">
        <is>
          <t>INA 138 NA/250</t>
        </is>
      </c>
      <c r="H31" s="19" t="n">
        <v>2</v>
      </c>
      <c r="I31" s="20" t="n">
        <v>2.4</v>
      </c>
      <c r="J31" s="20">
        <f>H31*I31</f>
        <v/>
      </c>
    </row>
    <row r="32" ht="15" customHeight="1" s="44">
      <c r="A32" s="17" t="n"/>
      <c r="B32" s="18" t="inlineStr">
        <is>
          <t>ICs / Module</t>
        </is>
      </c>
      <c r="C32" s="18" t="inlineStr">
        <is>
          <t>IC2</t>
        </is>
      </c>
      <c r="D32" s="18" t="inlineStr">
        <is>
          <t>OPA2340EA</t>
        </is>
      </c>
      <c r="E32" s="18" t="inlineStr">
        <is>
          <t>Dual Rail-to-Rail Op-Amp VSSOP-8</t>
        </is>
      </c>
      <c r="F32" s="18" t="inlineStr">
        <is>
          <t>Reichelt</t>
        </is>
      </c>
      <c r="G32" s="18" t="inlineStr">
        <is>
          <t>OPA 2340 EA/250</t>
        </is>
      </c>
      <c r="H32" s="19" t="n">
        <v>2</v>
      </c>
      <c r="I32" s="20" t="n">
        <v>2.1</v>
      </c>
      <c r="J32" s="20">
        <f>H32*I32</f>
        <v/>
      </c>
    </row>
    <row r="33" ht="15" customHeight="1" s="44">
      <c r="A33" s="17" t="n"/>
      <c r="B33" s="18" t="inlineStr">
        <is>
          <t>ICs / Module</t>
        </is>
      </c>
      <c r="C33" s="18" t="inlineStr">
        <is>
          <t>U1</t>
        </is>
      </c>
      <c r="D33" s="18" t="inlineStr">
        <is>
          <t>CH224K</t>
        </is>
      </c>
      <c r="E33" s="18" t="inlineStr">
        <is>
          <t>USB-PD Protokoll-IC ESSOP-10</t>
        </is>
      </c>
      <c r="F33" s="18" t="inlineStr">
        <is>
          <t>Aliexpress</t>
        </is>
      </c>
      <c r="G33" s="18" t="inlineStr">
        <is>
          <t>CH224K ESSOP10</t>
        </is>
      </c>
      <c r="H33" s="19" t="n">
        <v>2</v>
      </c>
      <c r="I33" s="20" t="n">
        <v>0.99</v>
      </c>
      <c r="J33" s="20">
        <f>H33*I33</f>
        <v/>
      </c>
    </row>
    <row r="34" ht="15" customHeight="1" s="44">
      <c r="A34" s="17" t="n"/>
      <c r="B34" s="18" t="inlineStr">
        <is>
          <t>ICs / Module</t>
        </is>
      </c>
      <c r="C34" s="18" t="inlineStr">
        <is>
          <t>U2</t>
        </is>
      </c>
      <c r="D34" s="18" t="inlineStr">
        <is>
          <t>TSR 3-2465N</t>
        </is>
      </c>
      <c r="E34" s="18" t="inlineStr">
        <is>
          <t>DC/DC-Wandler 12V-&gt;6,5V 3A</t>
        </is>
      </c>
      <c r="F34" s="18" t="inlineStr">
        <is>
          <t>Reichelt</t>
        </is>
      </c>
      <c r="G34" s="18" t="inlineStr">
        <is>
          <t>TSR 3-2465N</t>
        </is>
      </c>
      <c r="H34" s="19" t="n">
        <v>2</v>
      </c>
      <c r="I34" s="20" t="n">
        <v>9.19</v>
      </c>
      <c r="J34" s="20">
        <f>H34*I34</f>
        <v/>
      </c>
    </row>
    <row r="35" ht="15" customHeight="1" s="44">
      <c r="A35" s="17" t="n"/>
      <c r="B35" s="18" t="inlineStr">
        <is>
          <t>ICs / Module</t>
        </is>
      </c>
      <c r="C35" s="18" t="inlineStr">
        <is>
          <t>U4</t>
        </is>
      </c>
      <c r="D35" s="18" t="inlineStr">
        <is>
          <t>DRV8848PWPR</t>
        </is>
      </c>
      <c r="E35" s="18" t="inlineStr">
        <is>
          <t>Dual H-Bruecke Motordriver TSSOP</t>
        </is>
      </c>
      <c r="F35" s="18" t="inlineStr">
        <is>
          <t>Mouser</t>
        </is>
      </c>
      <c r="G35" s="18" t="inlineStr">
        <is>
          <t>DRV8848PWPR</t>
        </is>
      </c>
      <c r="H35" s="19" t="n">
        <v>2</v>
      </c>
      <c r="I35" s="20" t="n">
        <v>2.29</v>
      </c>
      <c r="J35" s="20">
        <f>H35*I35</f>
        <v/>
      </c>
    </row>
    <row r="36" ht="15" customHeight="1" s="44">
      <c r="A36" s="17" t="n"/>
      <c r="B36" s="18" t="inlineStr">
        <is>
          <t>ICs / Module</t>
        </is>
      </c>
      <c r="C36" s="18" t="inlineStr">
        <is>
          <t>TB1</t>
        </is>
      </c>
      <c r="D36" s="18" t="inlineStr">
        <is>
          <t>STM32F4DISC</t>
        </is>
      </c>
      <c r="E36" s="18" t="inlineStr">
        <is>
          <t>STM32F4 Discovery Board MCU</t>
        </is>
      </c>
      <c r="F36" s="18" t="inlineStr">
        <is>
          <t>ST / Online</t>
        </is>
      </c>
      <c r="G36" s="64" t="inlineStr">
        <is>
          <t>STM32F4DISCOVERY</t>
        </is>
      </c>
      <c r="H36" s="19" t="n">
        <v>1</v>
      </c>
      <c r="I36" s="20" t="n">
        <v>25</v>
      </c>
      <c r="J36" s="20">
        <f>H36*I36</f>
        <v/>
      </c>
    </row>
    <row r="37" ht="15" customHeight="1" s="44">
      <c r="A37" s="17" t="n"/>
      <c r="B37" s="18" t="inlineStr">
        <is>
          <t>ICs / Module</t>
        </is>
      </c>
      <c r="C37" s="18" t="inlineStr">
        <is>
          <t>--</t>
        </is>
      </c>
      <c r="D37" s="18" t="inlineStr">
        <is>
          <t>Powerbank</t>
        </is>
      </c>
      <c r="E37" s="18" t="inlineStr">
        <is>
          <t>Li-Po 10000mAh USB-PD</t>
        </is>
      </c>
      <c r="F37" s="18" t="inlineStr">
        <is>
          <t>Reichelt</t>
        </is>
      </c>
      <c r="G37" s="18" t="inlineStr">
        <is>
          <t>LOGILINK PA0275</t>
        </is>
      </c>
      <c r="H37" s="19" t="n">
        <v>1</v>
      </c>
      <c r="I37" s="20" t="n">
        <v>16.49</v>
      </c>
      <c r="J37" s="20">
        <f>H37*I37</f>
        <v/>
      </c>
    </row>
    <row r="38" ht="15" customHeight="1" s="44">
      <c r="A38" s="17" t="n"/>
      <c r="B38" s="18" t="inlineStr">
        <is>
          <t>ICs / Module</t>
        </is>
      </c>
      <c r="C38" s="18" t="inlineStr">
        <is>
          <t>--</t>
        </is>
      </c>
      <c r="D38" s="18" t="inlineStr">
        <is>
          <t>TFT Display</t>
        </is>
      </c>
      <c r="E38" s="18" t="inlineStr">
        <is>
          <t>128x160 SPI ST7735</t>
        </is>
      </c>
      <c r="F38" s="18" t="inlineStr">
        <is>
          <t>Makershop</t>
        </is>
      </c>
      <c r="G38" s="18" t="inlineStr">
        <is>
          <t>--</t>
        </is>
      </c>
      <c r="H38" s="19" t="n">
        <v>1</v>
      </c>
      <c r="I38" s="20" t="n">
        <v>7.5</v>
      </c>
      <c r="J38" s="20">
        <f>H38*I38</f>
        <v/>
      </c>
    </row>
    <row r="39" ht="13.95" customHeight="1" s="44">
      <c r="A39" s="51" t="inlineStr">
        <is>
          <t xml:space="preserve">  Zwischensumme  ICs / Module</t>
        </is>
      </c>
      <c r="B39" s="65" t="n"/>
      <c r="C39" s="65" t="n"/>
      <c r="D39" s="65" t="n"/>
      <c r="E39" s="65" t="n"/>
      <c r="F39" s="65" t="n"/>
      <c r="G39" s="65" t="n"/>
      <c r="H39" s="65" t="n"/>
      <c r="I39" s="66" t="n"/>
      <c r="J39" s="21">
        <f>SUM(J31,J32,J33,J34,J35,J36,J37,J38)</f>
        <v/>
      </c>
    </row>
    <row r="40" ht="4.05" customHeight="1" s="44"/>
    <row r="41" ht="16.05" customHeight="1" s="44">
      <c r="A41" s="49" t="inlineStr">
        <is>
          <t xml:space="preserve">  Steckverbinder</t>
        </is>
      </c>
    </row>
    <row r="42" ht="15" customHeight="1" s="44">
      <c r="A42" s="22" t="n"/>
      <c r="B42" s="23" t="inlineStr">
        <is>
          <t>Steckverbinder</t>
        </is>
      </c>
      <c r="C42" s="23" t="inlineStr">
        <is>
          <t>J1, J2</t>
        </is>
      </c>
      <c r="D42" s="23" t="inlineStr">
        <is>
          <t>B6B-XH-A</t>
        </is>
      </c>
      <c r="E42" s="23" t="inlineStr">
        <is>
          <t>JST XH Stiftleiste 6-pol</t>
        </is>
      </c>
      <c r="F42" s="23" t="inlineStr">
        <is>
          <t>Reichelt</t>
        </is>
      </c>
      <c r="G42" s="23" t="inlineStr">
        <is>
          <t>JST XH6P ST</t>
        </is>
      </c>
      <c r="H42" s="24" t="n">
        <v>3</v>
      </c>
      <c r="I42" s="25" t="n">
        <v>0.32</v>
      </c>
      <c r="J42" s="25">
        <f>H42*I42</f>
        <v/>
      </c>
    </row>
    <row r="43" ht="15" customHeight="1" s="44">
      <c r="A43" s="22" t="n"/>
      <c r="B43" s="23" t="inlineStr">
        <is>
          <t>Steckverbinder</t>
        </is>
      </c>
      <c r="C43" s="23" t="inlineStr">
        <is>
          <t>--</t>
        </is>
      </c>
      <c r="D43" s="23" t="inlineStr">
        <is>
          <t>XH6P BU</t>
        </is>
      </c>
      <c r="E43" s="23" t="inlineStr">
        <is>
          <t>JST XH Buchsengehaeuse 6-pol</t>
        </is>
      </c>
      <c r="F43" s="23" t="inlineStr">
        <is>
          <t>Reichelt</t>
        </is>
      </c>
      <c r="G43" s="23" t="inlineStr">
        <is>
          <t>JST XH6P BU</t>
        </is>
      </c>
      <c r="H43" s="24" t="n">
        <v>3</v>
      </c>
      <c r="I43" s="25" t="n">
        <v>0.13</v>
      </c>
      <c r="J43" s="25">
        <f>H43*I43</f>
        <v/>
      </c>
    </row>
    <row r="44" ht="15" customHeight="1" s="44">
      <c r="A44" s="22" t="n"/>
      <c r="B44" s="23" t="inlineStr">
        <is>
          <t>Steckverbinder</t>
        </is>
      </c>
      <c r="C44" s="23" t="inlineStr">
        <is>
          <t>J3</t>
        </is>
      </c>
      <c r="D44" s="23" t="inlineStr">
        <is>
          <t>PS 25/8G</t>
        </is>
      </c>
      <c r="E44" s="23" t="inlineStr">
        <is>
          <t>Platinensteckverbinder 8-pol</t>
        </is>
      </c>
      <c r="F44" s="23" t="inlineStr">
        <is>
          <t>Reichelt</t>
        </is>
      </c>
      <c r="G44" s="23" t="inlineStr">
        <is>
          <t>PS 25/8G BR</t>
        </is>
      </c>
      <c r="H44" s="24" t="n">
        <v>1</v>
      </c>
      <c r="I44" s="25" t="n">
        <v>2</v>
      </c>
      <c r="J44" s="25">
        <f>H44*I44</f>
        <v/>
      </c>
    </row>
    <row r="45" ht="15" customHeight="1" s="44">
      <c r="A45" s="22" t="n"/>
      <c r="B45" s="23" t="inlineStr">
        <is>
          <t>Steckverbinder</t>
        </is>
      </c>
      <c r="C45" s="23" t="inlineStr">
        <is>
          <t>JP2</t>
        </is>
      </c>
      <c r="D45" s="23" t="inlineStr">
        <is>
          <t>4-pol</t>
        </is>
      </c>
      <c r="E45" s="23" t="inlineStr">
        <is>
          <t>Stiftleiste 4-pol BKL</t>
        </is>
      </c>
      <c r="F45" s="23" t="inlineStr">
        <is>
          <t>Reichelt</t>
        </is>
      </c>
      <c r="G45" s="23" t="inlineStr">
        <is>
          <t>BKL 10120729</t>
        </is>
      </c>
      <c r="H45" s="24" t="n">
        <v>2</v>
      </c>
      <c r="I45" s="25" t="n">
        <v>0.4</v>
      </c>
      <c r="J45" s="25">
        <f>H45*I45</f>
        <v/>
      </c>
    </row>
    <row r="46" ht="15" customHeight="1" s="44">
      <c r="A46" s="22" t="n"/>
      <c r="B46" s="23" t="inlineStr">
        <is>
          <t>Steckverbinder</t>
        </is>
      </c>
      <c r="C46" s="23" t="inlineStr">
        <is>
          <t>JP1,JP3,JP4</t>
        </is>
      </c>
      <c r="D46" s="23" t="inlineStr">
        <is>
          <t>6-pol</t>
        </is>
      </c>
      <c r="E46" s="23" t="inlineStr">
        <is>
          <t>Stiftleiste 6-pol BKL</t>
        </is>
      </c>
      <c r="F46" s="23" t="inlineStr">
        <is>
          <t>Reichelt</t>
        </is>
      </c>
      <c r="G46" s="23" t="inlineStr">
        <is>
          <t>BKL 10120910</t>
        </is>
      </c>
      <c r="H46" s="24" t="n">
        <v>4</v>
      </c>
      <c r="I46" s="25" t="n">
        <v>0.38</v>
      </c>
      <c r="J46" s="25">
        <f>H46*I46</f>
        <v/>
      </c>
    </row>
    <row r="47" ht="15" customHeight="1" s="44">
      <c r="A47" s="22" t="n"/>
      <c r="B47" s="23" t="inlineStr">
        <is>
          <t>Steckverbinder</t>
        </is>
      </c>
      <c r="C47" s="23" t="inlineStr">
        <is>
          <t>--</t>
        </is>
      </c>
      <c r="D47" s="23" t="inlineStr">
        <is>
          <t>2x25 pol</t>
        </is>
      </c>
      <c r="E47" s="23" t="inlineStr">
        <is>
          <t>Buchsenleiste Stacking</t>
        </is>
      </c>
      <c r="F47" s="23" t="inlineStr">
        <is>
          <t>Reichelt</t>
        </is>
      </c>
      <c r="G47" s="23" t="inlineStr">
        <is>
          <t>BL 2X25G8 2,54</t>
        </is>
      </c>
      <c r="H47" s="24" t="n">
        <v>2</v>
      </c>
      <c r="I47" s="25" t="n">
        <v>0.6899999999999999</v>
      </c>
      <c r="J47" s="25">
        <f>H47*I47</f>
        <v/>
      </c>
    </row>
    <row r="48" ht="13.95" customHeight="1" s="44">
      <c r="A48" s="59" t="inlineStr">
        <is>
          <t xml:space="preserve">  Zwischensumme  Steckverbinder</t>
        </is>
      </c>
      <c r="B48" s="65" t="n"/>
      <c r="C48" s="65" t="n"/>
      <c r="D48" s="65" t="n"/>
      <c r="E48" s="65" t="n"/>
      <c r="F48" s="65" t="n"/>
      <c r="G48" s="65" t="n"/>
      <c r="H48" s="65" t="n"/>
      <c r="I48" s="66" t="n"/>
      <c r="J48" s="26">
        <f>SUM(J42,J43,J44,J45,J46,J47)</f>
        <v/>
      </c>
    </row>
    <row r="49" ht="4.05" customHeight="1" s="44"/>
    <row r="50" ht="16.05" customHeight="1" s="44">
      <c r="A50" s="45" t="inlineStr">
        <is>
          <t xml:space="preserve">  Schalter</t>
        </is>
      </c>
    </row>
    <row r="51" ht="15" customHeight="1" s="44">
      <c r="A51" s="27" t="n"/>
      <c r="B51" s="28" t="inlineStr">
        <is>
          <t>Schalter</t>
        </is>
      </c>
      <c r="C51" s="28" t="inlineStr">
        <is>
          <t>S1, S3</t>
        </is>
      </c>
      <c r="D51" s="28" t="inlineStr">
        <is>
          <t>Kippschalter</t>
        </is>
      </c>
      <c r="E51" s="28" t="inlineStr">
        <is>
          <t>EIN-AUS-EIN 3A/125V Goobay</t>
        </is>
      </c>
      <c r="F51" s="28" t="inlineStr">
        <is>
          <t>Reichelt</t>
        </is>
      </c>
      <c r="G51" s="28" t="inlineStr">
        <is>
          <t>GOOBAY 10022</t>
        </is>
      </c>
      <c r="H51" s="29" t="n">
        <v>3</v>
      </c>
      <c r="I51" s="30" t="n">
        <v>0.64</v>
      </c>
      <c r="J51" s="30">
        <f>H51*I51</f>
        <v/>
      </c>
    </row>
    <row r="52" ht="15" customHeight="1" s="44">
      <c r="A52" s="27" t="n"/>
      <c r="B52" s="28" t="inlineStr">
        <is>
          <t>Schalter</t>
        </is>
      </c>
      <c r="C52" s="28" t="inlineStr">
        <is>
          <t>S2</t>
        </is>
      </c>
      <c r="D52" s="28" t="inlineStr">
        <is>
          <t>Schiebeschalter</t>
        </is>
      </c>
      <c r="E52" s="28" t="inlineStr">
        <is>
          <t>SS 13ASP 3-pol</t>
        </is>
      </c>
      <c r="F52" s="28" t="inlineStr">
        <is>
          <t>Reichelt</t>
        </is>
      </c>
      <c r="G52" s="28" t="inlineStr">
        <is>
          <t>SS 13ASP</t>
        </is>
      </c>
      <c r="H52" s="29" t="n">
        <v>2</v>
      </c>
      <c r="I52" s="30" t="n">
        <v>1.6</v>
      </c>
      <c r="J52" s="30">
        <f>H52*I52</f>
        <v/>
      </c>
    </row>
    <row r="53" ht="15" customHeight="1" s="44">
      <c r="A53" s="27" t="n"/>
      <c r="B53" s="28" t="inlineStr">
        <is>
          <t>Schalter</t>
        </is>
      </c>
      <c r="C53" s="28" t="inlineStr">
        <is>
          <t>SJ1</t>
        </is>
      </c>
      <c r="D53" s="28" t="inlineStr">
        <is>
          <t>Loetbruecke</t>
        </is>
      </c>
      <c r="E53" s="28" t="inlineStr">
        <is>
          <t>Solder Jumper auf PCB</t>
        </is>
      </c>
      <c r="F53" s="28" t="inlineStr">
        <is>
          <t>--</t>
        </is>
      </c>
      <c r="G53" s="28" t="inlineStr">
        <is>
          <t>--</t>
        </is>
      </c>
      <c r="H53" s="29" t="n">
        <v>1</v>
      </c>
      <c r="I53" s="30" t="n">
        <v>0</v>
      </c>
      <c r="J53" s="30">
        <f>H53*I53</f>
        <v/>
      </c>
    </row>
    <row r="54" ht="13.95" customHeight="1" s="44">
      <c r="A54" s="50" t="inlineStr">
        <is>
          <t xml:space="preserve">  Zwischensumme  Schalter</t>
        </is>
      </c>
      <c r="B54" s="65" t="n"/>
      <c r="C54" s="65" t="n"/>
      <c r="D54" s="65" t="n"/>
      <c r="E54" s="65" t="n"/>
      <c r="F54" s="65" t="n"/>
      <c r="G54" s="65" t="n"/>
      <c r="H54" s="65" t="n"/>
      <c r="I54" s="66" t="n"/>
      <c r="J54" s="31">
        <f>SUM(J51,J52,J53)</f>
        <v/>
      </c>
    </row>
    <row r="55" ht="4.05" customHeight="1" s="44"/>
    <row r="56" ht="16.05" customHeight="1" s="44">
      <c r="A56" s="52" t="inlineStr">
        <is>
          <t xml:space="preserve">  Transistoren</t>
        </is>
      </c>
    </row>
    <row r="57" ht="15" customHeight="1" s="44">
      <c r="A57" s="32" t="n"/>
      <c r="B57" s="33" t="inlineStr">
        <is>
          <t>Transistoren</t>
        </is>
      </c>
      <c r="C57" s="33" t="inlineStr">
        <is>
          <t>Q2</t>
        </is>
      </c>
      <c r="D57" s="33" t="inlineStr">
        <is>
          <t>2N7000</t>
        </is>
      </c>
      <c r="E57" s="33" t="inlineStr">
        <is>
          <t>N-MOSFET 60V/115mA TO-92</t>
        </is>
      </c>
      <c r="F57" s="33" t="inlineStr">
        <is>
          <t>Reichelt</t>
        </is>
      </c>
      <c r="G57" s="33" t="inlineStr">
        <is>
          <t>2N 7000</t>
        </is>
      </c>
      <c r="H57" s="34" t="n">
        <v>2</v>
      </c>
      <c r="I57" s="35" t="n">
        <v>0.09</v>
      </c>
      <c r="J57" s="35">
        <f>H57*I57</f>
        <v/>
      </c>
    </row>
    <row r="58" ht="13.95" customHeight="1" s="44">
      <c r="A58" s="61" t="inlineStr">
        <is>
          <t xml:space="preserve">  Zwischensumme  Transistoren</t>
        </is>
      </c>
      <c r="B58" s="65" t="n"/>
      <c r="C58" s="65" t="n"/>
      <c r="D58" s="65" t="n"/>
      <c r="E58" s="65" t="n"/>
      <c r="F58" s="65" t="n"/>
      <c r="G58" s="65" t="n"/>
      <c r="H58" s="65" t="n"/>
      <c r="I58" s="66" t="n"/>
      <c r="J58" s="36">
        <f>SUM(J57)</f>
        <v/>
      </c>
    </row>
    <row r="59" ht="4.05" customHeight="1" s="44"/>
    <row r="60" ht="16.05" customHeight="1" s="44">
      <c r="A60" s="48" t="inlineStr">
        <is>
          <t xml:space="preserve">  Sonstiges</t>
        </is>
      </c>
    </row>
    <row r="61" ht="15" customHeight="1" s="44">
      <c r="A61" s="37" t="n"/>
      <c r="B61" s="38" t="inlineStr">
        <is>
          <t>Sonstiges</t>
        </is>
      </c>
      <c r="C61" s="38" t="inlineStr">
        <is>
          <t>F1</t>
        </is>
      </c>
      <c r="D61" s="38" t="inlineStr">
        <is>
          <t>16V/1,1A</t>
        </is>
      </c>
      <c r="E61" s="38" t="inlineStr">
        <is>
          <t>PTC Sicherung CHIP-1812</t>
        </is>
      </c>
      <c r="F61" s="38" t="inlineStr">
        <is>
          <t>Reichelt</t>
        </is>
      </c>
      <c r="G61" s="38" t="inlineStr">
        <is>
          <t>PTC FSMD11016R</t>
        </is>
      </c>
      <c r="H61" s="39" t="n">
        <v>2</v>
      </c>
      <c r="I61" s="40" t="n">
        <v>0.66</v>
      </c>
      <c r="J61" s="40">
        <f>H61*I61</f>
        <v/>
      </c>
    </row>
    <row r="62" ht="15" customHeight="1" s="44">
      <c r="A62" s="37" t="n"/>
      <c r="B62" s="38" t="inlineStr">
        <is>
          <t>Sonstiges</t>
        </is>
      </c>
      <c r="C62" s="38" t="inlineStr">
        <is>
          <t>--</t>
        </is>
      </c>
      <c r="D62" s="38" t="inlineStr">
        <is>
          <t>Drehknopf</t>
        </is>
      </c>
      <c r="E62" s="38" t="inlineStr">
        <is>
          <t>Durchm. 12mm Achse 6mm Cliff</t>
        </is>
      </c>
      <c r="F62" s="38" t="inlineStr">
        <is>
          <t>Reichelt</t>
        </is>
      </c>
      <c r="G62" s="38" t="inlineStr">
        <is>
          <t>CLIFF CL178862</t>
        </is>
      </c>
      <c r="H62" s="39" t="n">
        <v>5</v>
      </c>
      <c r="I62" s="40" t="n">
        <v>0.26</v>
      </c>
      <c r="J62" s="40">
        <f>H62*I62</f>
        <v/>
      </c>
    </row>
    <row r="63" ht="13.95" customHeight="1" s="44">
      <c r="A63" s="43" t="inlineStr">
        <is>
          <t xml:space="preserve">  Zwischensumme  Sonstiges</t>
        </is>
      </c>
      <c r="B63" s="65" t="n"/>
      <c r="C63" s="65" t="n"/>
      <c r="D63" s="65" t="n"/>
      <c r="E63" s="65" t="n"/>
      <c r="F63" s="65" t="n"/>
      <c r="G63" s="65" t="n"/>
      <c r="H63" s="65" t="n"/>
      <c r="I63" s="66" t="n"/>
      <c r="J63" s="41">
        <f>SUM(J61,J62)</f>
        <v/>
      </c>
    </row>
    <row r="64"/>
    <row r="65" ht="24" customHeight="1" s="44">
      <c r="A65" s="54" t="inlineStr">
        <is>
          <t xml:space="preserve">  GESAMTKOSTEN (alle Komponenten)</t>
        </is>
      </c>
      <c r="B65" s="65" t="n"/>
      <c r="C65" s="65" t="n"/>
      <c r="D65" s="65" t="n"/>
      <c r="E65" s="65" t="n"/>
      <c r="F65" s="65" t="n"/>
      <c r="G65" s="65" t="n"/>
      <c r="H65" s="65" t="n"/>
      <c r="I65" s="66" t="n"/>
      <c r="J65" s="42">
        <f>SUM(J11,J23,J28,J39,J48,J54,J58,J63)</f>
        <v/>
      </c>
    </row>
    <row r="66"/>
    <row r="67">
      <c r="A67" s="55" t="inlineStr">
        <is>
          <t>Preise gemaess Reichelt/Mouser Stand 03.06.2026. Stueckzahlen mit Reserve. Referenz: Schaltplan PID-Demo v65.</t>
        </is>
      </c>
    </row>
  </sheetData>
  <mergeCells count="20">
    <mergeCell ref="A65:I65"/>
    <mergeCell ref="A4:J4"/>
    <mergeCell ref="A13:J13"/>
    <mergeCell ref="A67:J67"/>
    <mergeCell ref="A30:J30"/>
    <mergeCell ref="A23:I23"/>
    <mergeCell ref="A60:J60"/>
    <mergeCell ref="A1:J1"/>
    <mergeCell ref="A63:I63"/>
    <mergeCell ref="A28:I28"/>
    <mergeCell ref="A58:I58"/>
    <mergeCell ref="A39:I39"/>
    <mergeCell ref="A25:J25"/>
    <mergeCell ref="A48:I48"/>
    <mergeCell ref="A41:J41"/>
    <mergeCell ref="A11:I11"/>
    <mergeCell ref="A56:J56"/>
    <mergeCell ref="A50:J50"/>
    <mergeCell ref="A2:J2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2026-06-03T19:11:39Z</dcterms:created>
  <dcterms:modified xmlns:dcterms="http://purl.org/dc/terms/" xmlns:xsi="http://www.w3.org/2001/XMLSchema-instance" xsi:type="dcterms:W3CDTF">2026-10-04T07:50:24Z</dcterms:modified>
  <cp:lastModifiedBy>Bader, Mutasem</cp:lastModifiedBy>
</cp:coreProperties>
</file>